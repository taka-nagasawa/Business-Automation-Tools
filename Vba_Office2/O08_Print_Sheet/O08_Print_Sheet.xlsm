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bd3b6870b88f4d6/デスクトップ/vba_renshu/gpt/github/"/>
    </mc:Choice>
  </mc:AlternateContent>
  <xr:revisionPtr revIDLastSave="27" documentId="8_{15BD168B-0193-4ECB-8BCD-7E2484F2BF3C}" xr6:coauthVersionLast="47" xr6:coauthVersionMax="47" xr10:uidLastSave="{10129D0A-CD54-48BD-8D6D-606D3DF9CB38}"/>
  <bookViews>
    <workbookView xWindow="-120" yWindow="-120" windowWidth="20730" windowHeight="11160" xr2:uid="{34EA11C4-DCC5-478B-8240-C7F156AD8DA0}"/>
  </bookViews>
  <sheets>
    <sheet name="印刷シート" sheetId="1" r:id="rId1"/>
    <sheet name="健診データ" sheetId="2" r:id="rId2"/>
  </sheets>
  <definedNames>
    <definedName name="_xlnm.Print_Area" localSheetId="0">印刷シート!$A$1:$H$34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13" i="1"/>
  <c r="G12" i="1"/>
  <c r="G11" i="1"/>
  <c r="G10" i="1"/>
  <c r="C20" i="1"/>
  <c r="C16" i="1"/>
  <c r="C15" i="1"/>
  <c r="C14" i="1"/>
  <c r="C13" i="1"/>
  <c r="C12" i="1"/>
  <c r="C11" i="1"/>
  <c r="C10" i="1"/>
  <c r="C6" i="1"/>
  <c r="C5" i="1"/>
</calcChain>
</file>

<file path=xl/sharedStrings.xml><?xml version="1.0" encoding="utf-8"?>
<sst xmlns="http://schemas.openxmlformats.org/spreadsheetml/2006/main" count="95" uniqueCount="71">
  <si>
    <t>患者番号</t>
  </si>
  <si>
    <t>氏名</t>
  </si>
  <si>
    <t>フリガナ</t>
  </si>
  <si>
    <t>性別</t>
  </si>
  <si>
    <t>生年月日</t>
  </si>
  <si>
    <t>郵便番号</t>
  </si>
  <si>
    <t>住所</t>
  </si>
  <si>
    <t>健診日</t>
  </si>
  <si>
    <t>身長</t>
  </si>
  <si>
    <t>体重</t>
  </si>
  <si>
    <t>視力左</t>
  </si>
  <si>
    <t>視力右</t>
  </si>
  <si>
    <t>血圧上</t>
  </si>
  <si>
    <t>血圧下</t>
  </si>
  <si>
    <t>判定</t>
  </si>
  <si>
    <t>埼玉 一郎</t>
  </si>
  <si>
    <t>男</t>
  </si>
  <si>
    <t>330-0001</t>
  </si>
  <si>
    <t>埼玉県さいたま市...</t>
  </si>
  <si>
    <t>A</t>
  </si>
  <si>
    <t>千葉 次郎</t>
  </si>
  <si>
    <t>260-0001</t>
  </si>
  <si>
    <t>千葉県千葉市...</t>
  </si>
  <si>
    <t>B</t>
  </si>
  <si>
    <t>栃木 花子</t>
  </si>
  <si>
    <t>女</t>
  </si>
  <si>
    <t>320-0001</t>
  </si>
  <si>
    <t>栃木県宇都宮市...</t>
  </si>
  <si>
    <t>健康診断結果報告書</t>
  </si>
  <si>
    <t>患者番号：</t>
    <rPh sb="0" eb="4">
      <t>カンジャバンゴウ</t>
    </rPh>
    <phoneticPr fontId="1"/>
  </si>
  <si>
    <t>氏名：</t>
    <rPh sb="0" eb="2">
      <t>シメイ</t>
    </rPh>
    <phoneticPr fontId="1"/>
  </si>
  <si>
    <t>様</t>
    <rPh sb="0" eb="1">
      <t>サマ</t>
    </rPh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</si>
  <si>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</si>
  <si>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</si>
  <si>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視力（左）</t>
    <rPh sb="0" eb="2">
      <t>シリョク</t>
    </rPh>
    <rPh sb="3" eb="4">
      <t>ヒダリ</t>
    </rPh>
    <phoneticPr fontId="1"/>
  </si>
  <si>
    <t>視力（右）</t>
    <rPh sb="0" eb="2">
      <t>シリョク</t>
    </rPh>
    <rPh sb="3" eb="4">
      <t>ミギ</t>
    </rPh>
    <phoneticPr fontId="1"/>
  </si>
  <si>
    <t>血圧（上）</t>
    <rPh sb="0" eb="2">
      <t>ケツアツ</t>
    </rPh>
    <rPh sb="3" eb="4">
      <t>ウエ</t>
    </rPh>
    <phoneticPr fontId="1"/>
  </si>
  <si>
    <t>血圧（下）</t>
    <rPh sb="0" eb="2">
      <t>ケツアツ</t>
    </rPh>
    <rPh sb="3" eb="4">
      <t>シタ</t>
    </rPh>
    <phoneticPr fontId="1"/>
  </si>
  <si>
    <t>cm</t>
    <phoneticPr fontId="1"/>
  </si>
  <si>
    <t>kg</t>
    <phoneticPr fontId="1"/>
  </si>
  <si>
    <t>mmHg</t>
    <phoneticPr fontId="1"/>
  </si>
  <si>
    <t>総合判定</t>
    <rPh sb="0" eb="4">
      <t>ソウゴウハンテイ</t>
    </rPh>
    <phoneticPr fontId="1"/>
  </si>
  <si>
    <t>医師所見</t>
    <rPh sb="0" eb="2">
      <t>イシ</t>
    </rPh>
    <rPh sb="2" eb="4">
      <t>ショケン</t>
    </rPh>
    <phoneticPr fontId="1"/>
  </si>
  <si>
    <t>〇〇クリニック 院長印</t>
    <rPh sb="8" eb="10">
      <t>インチョウ</t>
    </rPh>
    <rPh sb="10" eb="11">
      <t>イン</t>
    </rPh>
    <phoneticPr fontId="1"/>
  </si>
  <si>
    <t>群馬 太郎</t>
  </si>
  <si>
    <t>371-0001</t>
  </si>
  <si>
    <t>群馬県前橋市...</t>
  </si>
  <si>
    <t>C</t>
  </si>
  <si>
    <t>茨城 恵子</t>
  </si>
  <si>
    <t>310-0001</t>
  </si>
  <si>
    <t>茨城県水戸市...</t>
  </si>
  <si>
    <t>腹囲</t>
  </si>
  <si>
    <t>聴力(右)</t>
  </si>
  <si>
    <t>聴力(左)</t>
  </si>
  <si>
    <t>尿糖</t>
  </si>
  <si>
    <t>尿蛋白</t>
  </si>
  <si>
    <t>ｻｲﾀﾏ ｲﾁﾛｳ</t>
  </si>
  <si>
    <t>正常</t>
  </si>
  <si>
    <t>(-)</t>
  </si>
  <si>
    <t>(+)</t>
  </si>
  <si>
    <t>低下</t>
  </si>
  <si>
    <t>ﾁﾊﾞ ｼﾞﾛｳ</t>
  </si>
  <si>
    <t>ﾄﾁｷﾞ ﾊﾅｺ</t>
  </si>
  <si>
    <t>ｸﾞﾝﾏ タロウ</t>
  </si>
  <si>
    <t>ｲﾊﾞﾗｷ ｹｲｺ</t>
  </si>
  <si>
    <t>腹囲</t>
    <rPh sb="0" eb="2">
      <t>フクイ</t>
    </rPh>
    <phoneticPr fontId="1"/>
  </si>
  <si>
    <t>聴力（右）</t>
    <rPh sb="0" eb="2">
      <t>チョウリョク</t>
    </rPh>
    <rPh sb="3" eb="4">
      <t>ミギ</t>
    </rPh>
    <phoneticPr fontId="1"/>
  </si>
  <si>
    <t>聴力（左）</t>
    <rPh sb="0" eb="2">
      <t>チョウリョク</t>
    </rPh>
    <rPh sb="3" eb="4">
      <t>ヒダリ</t>
    </rPh>
    <phoneticPr fontId="1"/>
  </si>
  <si>
    <t>尿糖</t>
    <rPh sb="0" eb="2">
      <t>ニョウトウ</t>
    </rPh>
    <phoneticPr fontId="1"/>
  </si>
  <si>
    <t>尿蛋白</t>
    <rPh sb="0" eb="3">
      <t>ニョウタンパク</t>
    </rPh>
    <phoneticPr fontId="1"/>
  </si>
  <si>
    <t>健診日：</t>
    <rPh sb="0" eb="2">
      <t>ケンシン</t>
    </rPh>
    <rPh sb="2" eb="3">
      <t>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</si>
</sst>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0.0_);[Red]\(0.0\)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0"/>
      <color theme="1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>
      <alignment vertical="center"/>
    </xf>
    <xf numFmtId="0" fontId="2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distributed" vertical="center" indent="2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</xdr:row>
          <xdr:rowOff>266700</xdr:rowOff>
        </xdr:from>
        <xdr:to>
          <xdr:col>9</xdr:col>
          <xdr:colOff>676275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45175-7FC8-4E4F-9FB0-59E12A97567E}">
  <sheetPr codeName="Sheet1"/>
  <dimension ref="B1:J33"/>
  <sheetViews>
    <sheetView tabSelected="1" view="pageBreakPreview" zoomScaleNormal="100" zoomScaleSheetLayoutView="100" workbookViewId="0"/>
  </sheetViews>
  <sheetFormatPr defaultRowHeight="18.75" x14ac:dyDescent="0.4"/>
  <cols>
    <col min="2" max="2" width="10" customWidth="1"/>
    <col min="3" max="3" width="6.875" customWidth="1"/>
    <col min="5" max="5" width="11" bestFit="1" customWidth="1"/>
    <col min="6" max="6" width="10.5" customWidth="1"/>
    <col min="7" max="7" width="9.25" bestFit="1" customWidth="1"/>
    <col min="9" max="9" width="10.125" customWidth="1"/>
  </cols>
  <sheetData>
    <row r="1" spans="2:10" x14ac:dyDescent="0.4">
      <c r="I1" t="s">
        <v>29</v>
      </c>
      <c r="J1" s="15"/>
    </row>
    <row r="2" spans="2:10" ht="33" x14ac:dyDescent="0.4">
      <c r="B2" s="16" t="s">
        <v>28</v>
      </c>
      <c r="C2" s="16"/>
      <c r="D2" s="16"/>
      <c r="E2" s="16"/>
      <c r="F2" s="16"/>
    </row>
    <row r="3" spans="2:10" x14ac:dyDescent="0.4">
      <c r="F3" t="s">
        <v>70</v>
      </c>
      <c r="G3" s="1" t="str">
        <f>IFERROR(VLOOKUP($J$1,健診データ!$A:$O,8,FALSE),"")</f>
        <v/>
      </c>
    </row>
    <row r="5" spans="2:10" x14ac:dyDescent="0.4">
      <c r="B5" s="10" t="s">
        <v>29</v>
      </c>
      <c r="C5" t="str">
        <f>IFERROR(VLOOKUP($J$1,健診データ!$A:$T,1,FALSE),"")</f>
        <v/>
      </c>
    </row>
    <row r="6" spans="2:10" ht="27.75" customHeight="1" thickBot="1" x14ac:dyDescent="0.45">
      <c r="B6" s="10" t="s">
        <v>30</v>
      </c>
      <c r="C6" s="17" t="str">
        <f>IFERROR(VLOOKUP($J$1,健診データ!$A:$T,2,FALSE),"")</f>
        <v/>
      </c>
      <c r="D6" s="17"/>
      <c r="E6" s="17"/>
      <c r="F6" s="11" t="s">
        <v>31</v>
      </c>
    </row>
    <row r="7" spans="2:10" ht="19.5" thickTop="1" x14ac:dyDescent="0.4"/>
    <row r="10" spans="2:10" x14ac:dyDescent="0.4">
      <c r="B10" s="11" t="s">
        <v>32</v>
      </c>
      <c r="C10" s="12" t="str">
        <f>IFERROR(VLOOKUP($J$1,健診データ!$A:$T,9,FALSE),"")</f>
        <v/>
      </c>
      <c r="D10" t="s">
        <v>38</v>
      </c>
      <c r="F10" s="11" t="s">
        <v>66</v>
      </c>
      <c r="G10" t="str">
        <f>IFERROR(VLOOKUP($J$1,健診データ!$A:$T,16,FALSE),"")</f>
        <v/>
      </c>
    </row>
    <row r="11" spans="2:10" x14ac:dyDescent="0.4">
      <c r="B11" s="11" t="s">
        <v>33</v>
      </c>
      <c r="C11" s="12" t="str">
        <f>IFERROR(VLOOKUP($J$1,健診データ!$A:$T,10,FALSE),"")</f>
        <v/>
      </c>
      <c r="D11" t="s">
        <v>39</v>
      </c>
      <c r="F11" s="11" t="s">
        <v>67</v>
      </c>
      <c r="G11" t="str">
        <f>IFERROR(VLOOKUP($J$1,健診データ!$A:$T,17,FALSE),"")</f>
        <v/>
      </c>
    </row>
    <row r="12" spans="2:10" x14ac:dyDescent="0.4">
      <c r="B12" s="11" t="s">
        <v>34</v>
      </c>
      <c r="C12" s="12" t="str">
        <f>IFERROR(VLOOKUP($J$1,健診データ!$A:$T,11,FALSE),"")</f>
        <v/>
      </c>
      <c r="F12" s="11" t="s">
        <v>68</v>
      </c>
      <c r="G12" t="str">
        <f>IFERROR(VLOOKUP($J$1,健診データ!$A:$T,18,FALSE),"")</f>
        <v/>
      </c>
    </row>
    <row r="13" spans="2:10" x14ac:dyDescent="0.4">
      <c r="B13" s="11" t="s">
        <v>35</v>
      </c>
      <c r="C13" s="12" t="str">
        <f>IFERROR(VLOOKUP($J$1,健診データ!$A:$T,12,FALSE),"")</f>
        <v/>
      </c>
      <c r="F13" s="11" t="s">
        <v>69</v>
      </c>
      <c r="G13" t="str">
        <f>IFERROR(VLOOKUP($J$1,健診データ!$A:$T,19,FALSE),"")</f>
        <v/>
      </c>
    </row>
    <row r="14" spans="2:10" x14ac:dyDescent="0.4">
      <c r="B14" s="11" t="s">
        <v>36</v>
      </c>
      <c r="C14" t="str">
        <f>IFERROR(VLOOKUP($J$1,健診データ!$A:$T,13,FALSE),"")</f>
        <v/>
      </c>
      <c r="D14" t="s">
        <v>40</v>
      </c>
    </row>
    <row r="15" spans="2:10" x14ac:dyDescent="0.4">
      <c r="B15" s="11" t="s">
        <v>37</v>
      </c>
      <c r="C15" t="str">
        <f>IFERROR(VLOOKUP($J$1,健診データ!$A:$T,14,FALSE),"")</f>
        <v/>
      </c>
      <c r="D15" t="s">
        <v>40</v>
      </c>
    </row>
    <row r="16" spans="2:10" x14ac:dyDescent="0.4">
      <c r="B16" s="11" t="s">
        <v>65</v>
      </c>
      <c r="C16" t="str">
        <f>IFERROR(VLOOKUP($J$1,健診データ!$A:$T,15,FALSE),"")</f>
        <v/>
      </c>
      <c r="D16" t="s">
        <v>38</v>
      </c>
    </row>
    <row r="20" spans="2:7" ht="33" customHeight="1" x14ac:dyDescent="0.4">
      <c r="B20" t="s">
        <v>41</v>
      </c>
      <c r="C20" s="14" t="str">
        <f>IFERROR(VLOOKUP($J$1,健診データ!$A:$T,20,FALSE),"")</f>
        <v/>
      </c>
    </row>
    <row r="23" spans="2:7" x14ac:dyDescent="0.4">
      <c r="B23" t="s">
        <v>42</v>
      </c>
      <c r="G23" s="8"/>
    </row>
    <row r="24" spans="2:7" x14ac:dyDescent="0.4">
      <c r="B24" s="2"/>
      <c r="C24" s="3"/>
      <c r="D24" s="3"/>
      <c r="E24" s="3"/>
      <c r="F24" s="3"/>
      <c r="G24" s="4"/>
    </row>
    <row r="25" spans="2:7" x14ac:dyDescent="0.4">
      <c r="B25" s="5"/>
      <c r="G25" s="6"/>
    </row>
    <row r="26" spans="2:7" x14ac:dyDescent="0.4">
      <c r="B26" s="5"/>
      <c r="G26" s="6"/>
    </row>
    <row r="27" spans="2:7" x14ac:dyDescent="0.4">
      <c r="B27" s="5"/>
      <c r="G27" s="6"/>
    </row>
    <row r="28" spans="2:7" x14ac:dyDescent="0.4">
      <c r="B28" s="5"/>
      <c r="G28" s="6"/>
    </row>
    <row r="29" spans="2:7" x14ac:dyDescent="0.4">
      <c r="B29" s="5"/>
      <c r="G29" s="6"/>
    </row>
    <row r="30" spans="2:7" x14ac:dyDescent="0.4">
      <c r="B30" s="5"/>
      <c r="G30" s="6"/>
    </row>
    <row r="31" spans="2:7" x14ac:dyDescent="0.4">
      <c r="B31" s="7"/>
      <c r="C31" s="8"/>
      <c r="D31" s="8"/>
      <c r="E31" s="8"/>
      <c r="F31" s="8"/>
      <c r="G31" s="9"/>
    </row>
    <row r="33" spans="6:6" x14ac:dyDescent="0.4">
      <c r="F33" t="s">
        <v>43</v>
      </c>
    </row>
  </sheetData>
  <mergeCells count="2">
    <mergeCell ref="B2:F2"/>
    <mergeCell ref="C6:E6"/>
  </mergeCells>
  <phoneticPr fontId="1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_Current_Form">
                <anchor moveWithCells="1" sizeWithCells="1">
                  <from>
                    <xdr:col>8</xdr:col>
                    <xdr:colOff>85725</xdr:colOff>
                    <xdr:row>1</xdr:row>
                    <xdr:rowOff>266700</xdr:rowOff>
                  </from>
                  <to>
                    <xdr:col>9</xdr:col>
                    <xdr:colOff>676275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0F390-5F72-4B42-A409-6AA1BCC03527}">
  <sheetPr codeName="Sheet2"/>
  <dimension ref="A1:T6"/>
  <sheetViews>
    <sheetView workbookViewId="0"/>
  </sheetViews>
  <sheetFormatPr defaultRowHeight="18.75" x14ac:dyDescent="0.4"/>
  <cols>
    <col min="2" max="2" width="9.5" bestFit="1" customWidth="1"/>
    <col min="3" max="3" width="17.75" bestFit="1" customWidth="1"/>
    <col min="4" max="4" width="5.25" bestFit="1" customWidth="1"/>
    <col min="5" max="5" width="11.375" bestFit="1" customWidth="1"/>
    <col min="6" max="6" width="9.375" bestFit="1" customWidth="1"/>
    <col min="7" max="7" width="18.875" bestFit="1" customWidth="1"/>
    <col min="8" max="8" width="9.25" bestFit="1" customWidth="1"/>
    <col min="9" max="9" width="6.75" style="13" bestFit="1" customWidth="1"/>
    <col min="10" max="10" width="5.75" style="13" bestFit="1" customWidth="1"/>
    <col min="11" max="12" width="7.25" style="13" bestFit="1" customWidth="1"/>
    <col min="13" max="14" width="7.125" bestFit="1" customWidth="1"/>
    <col min="15" max="15" width="5.25" bestFit="1" customWidth="1"/>
  </cols>
  <sheetData>
    <row r="1" spans="1:20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t="s">
        <v>12</v>
      </c>
      <c r="N1" t="s">
        <v>13</v>
      </c>
      <c r="O1" t="s">
        <v>51</v>
      </c>
      <c r="P1" t="s">
        <v>52</v>
      </c>
      <c r="Q1" t="s">
        <v>53</v>
      </c>
      <c r="R1" t="s">
        <v>54</v>
      </c>
      <c r="S1" t="s">
        <v>55</v>
      </c>
      <c r="T1" t="s">
        <v>14</v>
      </c>
    </row>
    <row r="2" spans="1:20" x14ac:dyDescent="0.4">
      <c r="A2">
        <v>1001</v>
      </c>
      <c r="B2" t="s">
        <v>15</v>
      </c>
      <c r="C2" t="s">
        <v>56</v>
      </c>
      <c r="D2" t="s">
        <v>16</v>
      </c>
      <c r="E2" s="1">
        <v>29221</v>
      </c>
      <c r="F2" t="s">
        <v>17</v>
      </c>
      <c r="G2" t="s">
        <v>18</v>
      </c>
      <c r="H2" s="1">
        <v>46054</v>
      </c>
      <c r="I2" s="13">
        <v>170.5</v>
      </c>
      <c r="J2" s="13">
        <v>65.2</v>
      </c>
      <c r="K2" s="13">
        <v>1.2</v>
      </c>
      <c r="L2" s="13">
        <v>1</v>
      </c>
      <c r="M2">
        <v>120</v>
      </c>
      <c r="N2">
        <v>78</v>
      </c>
      <c r="O2">
        <v>82.5</v>
      </c>
      <c r="P2" t="s">
        <v>57</v>
      </c>
      <c r="Q2" t="s">
        <v>57</v>
      </c>
      <c r="R2" t="s">
        <v>58</v>
      </c>
      <c r="S2" t="s">
        <v>58</v>
      </c>
      <c r="T2" t="s">
        <v>19</v>
      </c>
    </row>
    <row r="3" spans="1:20" x14ac:dyDescent="0.4">
      <c r="A3">
        <v>1002</v>
      </c>
      <c r="B3" t="s">
        <v>20</v>
      </c>
      <c r="C3" t="s">
        <v>61</v>
      </c>
      <c r="D3" t="s">
        <v>16</v>
      </c>
      <c r="E3" s="1">
        <v>33736</v>
      </c>
      <c r="F3" t="s">
        <v>21</v>
      </c>
      <c r="G3" t="s">
        <v>22</v>
      </c>
      <c r="H3" s="1">
        <v>46054</v>
      </c>
      <c r="I3" s="13">
        <v>175</v>
      </c>
      <c r="J3" s="13">
        <v>72.5</v>
      </c>
      <c r="K3" s="13">
        <v>0.8</v>
      </c>
      <c r="L3" s="13">
        <v>0.7</v>
      </c>
      <c r="M3">
        <v>135</v>
      </c>
      <c r="N3">
        <v>88</v>
      </c>
      <c r="O3">
        <v>79</v>
      </c>
      <c r="P3" t="s">
        <v>57</v>
      </c>
      <c r="Q3" t="s">
        <v>57</v>
      </c>
      <c r="R3" t="s">
        <v>58</v>
      </c>
      <c r="S3" t="s">
        <v>58</v>
      </c>
      <c r="T3" t="s">
        <v>23</v>
      </c>
    </row>
    <row r="4" spans="1:20" x14ac:dyDescent="0.4">
      <c r="A4">
        <v>1003</v>
      </c>
      <c r="B4" t="s">
        <v>24</v>
      </c>
      <c r="C4" t="s">
        <v>62</v>
      </c>
      <c r="D4" t="s">
        <v>25</v>
      </c>
      <c r="E4" s="1">
        <v>31381</v>
      </c>
      <c r="F4" t="s">
        <v>26</v>
      </c>
      <c r="G4" t="s">
        <v>27</v>
      </c>
      <c r="H4" s="1">
        <v>46055</v>
      </c>
      <c r="I4" s="13">
        <v>158.19999999999999</v>
      </c>
      <c r="J4" s="13">
        <v>50.1</v>
      </c>
      <c r="K4" s="13">
        <v>1.5</v>
      </c>
      <c r="L4" s="13">
        <v>1.5</v>
      </c>
      <c r="M4">
        <v>110</v>
      </c>
      <c r="N4">
        <v>70</v>
      </c>
      <c r="O4">
        <v>75.2</v>
      </c>
      <c r="P4" t="s">
        <v>57</v>
      </c>
      <c r="Q4" t="s">
        <v>57</v>
      </c>
      <c r="R4" t="s">
        <v>58</v>
      </c>
      <c r="S4" t="s">
        <v>58</v>
      </c>
      <c r="T4" t="s">
        <v>19</v>
      </c>
    </row>
    <row r="5" spans="1:20" x14ac:dyDescent="0.4">
      <c r="A5">
        <v>1004</v>
      </c>
      <c r="B5" t="s">
        <v>44</v>
      </c>
      <c r="C5" t="s">
        <v>63</v>
      </c>
      <c r="D5" t="s">
        <v>16</v>
      </c>
      <c r="E5" s="1">
        <v>28595</v>
      </c>
      <c r="F5" t="s">
        <v>45</v>
      </c>
      <c r="G5" t="s">
        <v>46</v>
      </c>
      <c r="H5" s="1">
        <v>46055</v>
      </c>
      <c r="I5" s="13">
        <v>168</v>
      </c>
      <c r="J5" s="13">
        <v>80.400000000000006</v>
      </c>
      <c r="K5" s="13">
        <v>0.5</v>
      </c>
      <c r="L5" s="13">
        <v>0.6</v>
      </c>
      <c r="M5">
        <v>145</v>
      </c>
      <c r="N5">
        <v>95</v>
      </c>
      <c r="O5">
        <v>92</v>
      </c>
      <c r="P5" t="s">
        <v>60</v>
      </c>
      <c r="Q5" t="s">
        <v>57</v>
      </c>
      <c r="R5" t="s">
        <v>59</v>
      </c>
      <c r="S5" t="s">
        <v>58</v>
      </c>
      <c r="T5" t="s">
        <v>47</v>
      </c>
    </row>
    <row r="6" spans="1:20" x14ac:dyDescent="0.4">
      <c r="A6">
        <v>1005</v>
      </c>
      <c r="B6" t="s">
        <v>48</v>
      </c>
      <c r="C6" t="s">
        <v>64</v>
      </c>
      <c r="D6" t="s">
        <v>25</v>
      </c>
      <c r="E6" s="1">
        <v>34933</v>
      </c>
      <c r="F6" t="s">
        <v>49</v>
      </c>
      <c r="G6" t="s">
        <v>50</v>
      </c>
      <c r="H6" s="1">
        <v>46056</v>
      </c>
      <c r="I6" s="13">
        <v>162.30000000000001</v>
      </c>
      <c r="J6" s="13">
        <v>55.8</v>
      </c>
      <c r="K6" s="13">
        <v>1.2</v>
      </c>
      <c r="L6" s="13">
        <v>1.2</v>
      </c>
      <c r="M6">
        <v>118</v>
      </c>
      <c r="N6">
        <v>74</v>
      </c>
      <c r="O6">
        <v>88</v>
      </c>
      <c r="P6" t="s">
        <v>57</v>
      </c>
      <c r="Q6" t="s">
        <v>57</v>
      </c>
      <c r="R6" t="s">
        <v>58</v>
      </c>
      <c r="S6" t="s">
        <v>58</v>
      </c>
      <c r="T6" t="s">
        <v>19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印刷シート</vt:lpstr>
      <vt:lpstr>健診データ</vt:lpstr>
      <vt:lpstr>印刷シート!Print_Area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 T</dc:creator>
  <cp:lastModifiedBy>N T</cp:lastModifiedBy>
  <cp:lastPrinted>2026-02-24T08:01:40Z</cp:lastPrinted>
  <dcterms:created xsi:type="dcterms:W3CDTF">2026-02-17T02:23:40Z</dcterms:created>
  <dcterms:modified xsi:type="dcterms:W3CDTF">2026-02-24T09:32:21Z</dcterms:modified>
</cp:coreProperties>
</file>